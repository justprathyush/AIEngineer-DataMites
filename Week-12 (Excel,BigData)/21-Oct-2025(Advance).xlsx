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\Downloads\Week-12 (Excel,BigData)\21-10-2025\"/>
    </mc:Choice>
  </mc:AlternateContent>
  <xr:revisionPtr revIDLastSave="0" documentId="13_ncr:1_{C48D6722-AF69-46E2-A271-4654E2DCFE5D}" xr6:coauthVersionLast="47" xr6:coauthVersionMax="47" xr10:uidLastSave="{00000000-0000-0000-0000-000000000000}"/>
  <bookViews>
    <workbookView xWindow="-108" yWindow="-108" windowWidth="23256" windowHeight="12456" xr2:uid="{68B67BE3-6C2E-49F9-B92C-9D1E61BEBDE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G10" i="1"/>
  <c r="I20" i="2" a="1"/>
  <c r="I20" i="2" s="1"/>
  <c r="L16" i="4"/>
  <c r="E2" i="2"/>
  <c r="F2" i="2"/>
  <c r="E6" i="2"/>
  <c r="E3" i="2"/>
  <c r="I16" i="2"/>
  <c r="I15" i="2"/>
  <c r="D20" i="1"/>
  <c r="D19" i="1"/>
  <c r="E4" i="2"/>
  <c r="E5" i="2"/>
  <c r="C14" i="2" a="1"/>
  <c r="C14" i="2" s="1"/>
  <c r="C13" i="2" a="1"/>
  <c r="C13" i="2" s="1"/>
  <c r="I14" i="4"/>
  <c r="G13" i="4"/>
  <c r="G10" i="4"/>
  <c r="G8" i="4"/>
  <c r="F3" i="2"/>
  <c r="F4" i="2"/>
  <c r="F5" i="2"/>
  <c r="F6" i="2"/>
  <c r="C11" i="2"/>
  <c r="E10" i="2"/>
  <c r="E9" i="2"/>
  <c r="M14" i="1"/>
  <c r="M10" i="1"/>
  <c r="J14" i="1"/>
  <c r="J11" i="1"/>
  <c r="J10" i="1"/>
  <c r="G15" i="1"/>
  <c r="G14" i="1"/>
  <c r="G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<sst xmlns="http://schemas.openxmlformats.org/spreadsheetml/2006/main" count="89" uniqueCount="68">
  <si>
    <t>Name</t>
  </si>
  <si>
    <t>Department</t>
  </si>
  <si>
    <t>Sales</t>
  </si>
  <si>
    <t>Region</t>
  </si>
  <si>
    <t>John</t>
  </si>
  <si>
    <t>Marketing</t>
  </si>
  <si>
    <t>North</t>
  </si>
  <si>
    <t>Alice</t>
  </si>
  <si>
    <t>South</t>
  </si>
  <si>
    <t>Bob</t>
  </si>
  <si>
    <t>East</t>
  </si>
  <si>
    <t>Emma</t>
  </si>
  <si>
    <t>West</t>
  </si>
  <si>
    <t>David</t>
  </si>
  <si>
    <t>HR</t>
  </si>
  <si>
    <t>Lucy</t>
  </si>
  <si>
    <t>Oliver</t>
  </si>
  <si>
    <t>Sophie</t>
  </si>
  <si>
    <t>Employee ID</t>
  </si>
  <si>
    <t>Employee Name</t>
  </si>
  <si>
    <t>E101</t>
  </si>
  <si>
    <t>John Smith</t>
  </si>
  <si>
    <t>E102</t>
  </si>
  <si>
    <t>Emily Johnson</t>
  </si>
  <si>
    <t>IT</t>
  </si>
  <si>
    <t>E103</t>
  </si>
  <si>
    <t>Michael Brown</t>
  </si>
  <si>
    <t>Finance</t>
  </si>
  <si>
    <t>E104</t>
  </si>
  <si>
    <t>Sarah Davis</t>
  </si>
  <si>
    <t>E105</t>
  </si>
  <si>
    <t>David Wilson</t>
  </si>
  <si>
    <t>Salary</t>
  </si>
  <si>
    <t>Hire Date</t>
  </si>
  <si>
    <t>Students</t>
  </si>
  <si>
    <t>stud1</t>
  </si>
  <si>
    <t>stud2</t>
  </si>
  <si>
    <t>stud3</t>
  </si>
  <si>
    <t>Maths</t>
  </si>
  <si>
    <t>stud4</t>
  </si>
  <si>
    <t>English</t>
  </si>
  <si>
    <t>Science</t>
  </si>
  <si>
    <t>Find how much sales done by Marketing department?</t>
  </si>
  <si>
    <t>Find the sales where the department is "Sales" and the region is "East"?</t>
  </si>
  <si>
    <t>Find the count of how many times "Marketing" appears in the department column?</t>
  </si>
  <si>
    <t>Find the count of how many employees are in the "HR" department and located in the "South" region?</t>
  </si>
  <si>
    <t>sumif</t>
  </si>
  <si>
    <t>1)</t>
  </si>
  <si>
    <t>2)</t>
  </si>
  <si>
    <t>sumifs</t>
  </si>
  <si>
    <t>Find the sales where department is hr and north region?</t>
  </si>
  <si>
    <t>3)</t>
  </si>
  <si>
    <t>countif</t>
  </si>
  <si>
    <t>4)</t>
  </si>
  <si>
    <t>countifs</t>
  </si>
  <si>
    <t>vlookup</t>
  </si>
  <si>
    <t>salary</t>
  </si>
  <si>
    <t>Hire date</t>
  </si>
  <si>
    <t>Hlookup</t>
  </si>
  <si>
    <t>xlookup</t>
  </si>
  <si>
    <t>Finding the Michael Brown "Dept" from the tablearray?</t>
  </si>
  <si>
    <t>Checking the person have the E104 Emperloyee ID?</t>
  </si>
  <si>
    <t>HLOOKUP</t>
  </si>
  <si>
    <t>VLOOKUP</t>
  </si>
  <si>
    <t>"Sheet 4"</t>
  </si>
  <si>
    <t>XLOOKUP</t>
  </si>
  <si>
    <t>looking the EmpID of Sarah Davis?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</si>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</sst>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3" fontId="0" fillId="3" borderId="2" xfId="0" applyNumberFormat="1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3" fontId="0" fillId="3" borderId="4" xfId="0" applyNumberFormat="1" applyFill="1" applyBorder="1" applyAlignment="1">
      <alignment vertical="center" wrapText="1"/>
    </xf>
    <xf numFmtId="14" fontId="0" fillId="3" borderId="4" xfId="0" applyNumberFormat="1" applyFill="1" applyBorder="1" applyAlignment="1">
      <alignment vertical="center" wrapText="1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19"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FE8BF-5B35-4352-B01A-A05ADB5D6450}" name="Table1" displayName="Table1" ref="A1:D9" totalsRowShown="0" headerRowDxfId="18" dataDxfId="17">
  <autoFilter ref="A1:D9" xr:uid="{CC1FE8BF-5B35-4352-B01A-A05ADB5D6450}"/>
  <tableColumns count="4">
    <tableColumn id="1" xr3:uid="{1CC8A60C-C5B0-4BD0-B05F-07ED0EEE8B8C}" name="Name" dataDxfId="16"/>
    <tableColumn id="2" xr3:uid="{806B891B-2810-406A-BBB7-0119852688A1}" name="Department" dataDxfId="15"/>
    <tableColumn id="3" xr3:uid="{E0AA0D6D-17D6-44DE-9342-D4FFDBC1A45F}" name="Sales" dataDxfId="14"/>
    <tableColumn id="4" xr3:uid="{6EE64881-E844-4CBD-A4D5-168D92A269D5}" name="Region" dataDxfId="1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7900D4-B823-4B0D-811B-1A3F82016360}" name="Table2" displayName="Table2" ref="A1:C6" totalsRowShown="0" headerRowDxfId="12" dataDxfId="11" tableBorderDxfId="10">
  <autoFilter ref="A1:C6" xr:uid="{C67900D4-B823-4B0D-811B-1A3F82016360}"/>
  <tableColumns count="3">
    <tableColumn id="1" xr3:uid="{7CE808D5-CAE9-4439-A255-6D7A83C1F0F5}" name="Employee ID" dataDxfId="9"/>
    <tableColumn id="2" xr3:uid="{179C0CFC-82A7-47FF-828F-3D7761DFBB18}" name="Employee Name" dataDxfId="8"/>
    <tableColumn id="3" xr3:uid="{6C82645A-147B-47D0-8F5D-2053370ECC24}" name="Department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E6A6E-D0CC-4F14-93EB-F142B818F894}" name="Table7" displayName="Table7" ref="A1:C6" totalsRowShown="0" headerRowDxfId="6" headerRowBorderDxfId="5" tableBorderDxfId="4" totalsRowBorderDxfId="3">
  <autoFilter ref="A1:C6" xr:uid="{9AEE6A6E-D0CC-4F14-93EB-F142B818F894}"/>
  <tableColumns count="3">
    <tableColumn id="1" xr3:uid="{36E5749B-1F75-4343-B4C5-7A1AD70B07FD}" name="Employee ID" dataDxfId="2"/>
    <tableColumn id="2" xr3:uid="{20D13084-A7F6-4FF6-A629-ED4E8459E7F4}" name="Salary" dataDxfId="1"/>
    <tableColumn id="3" xr3:uid="{D3468D3A-588A-4D5C-B8E6-69C1CC2B70CC}" name="Hire Dat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0228E5-6CD8-43B4-A1FF-DA77F9BB181D}" name="Table14" displayName="Table14" ref="A1:E4" totalsRowShown="0">
  <autoFilter ref="A1:E4" xr:uid="{010228E5-6CD8-43B4-A1FF-DA77F9BB181D}"/>
  <tableColumns count="5">
    <tableColumn id="1" xr3:uid="{1C83B6E7-A7AC-46D9-A987-6415545F6492}" name="Students"/>
    <tableColumn id="2" xr3:uid="{869CEFC9-B3C4-4FC4-B9A7-AC5A60285FD8}" name="stud1"/>
    <tableColumn id="3" xr3:uid="{9F3831BB-1B5F-41AE-823A-CEC402F26F93}" name="stud2"/>
    <tableColumn id="4" xr3:uid="{2F02FDFD-9F20-4ACA-B852-9894A69A3339}" name="stud3"/>
    <tableColumn id="5" xr3:uid="{305787D3-E369-4A13-B0D3-49916C1A5BB1}" name="stud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47BB-48B2-4913-BEBF-33783D3FB6BD}">
  <dimension ref="A1:M20"/>
  <sheetViews>
    <sheetView tabSelected="1" workbookViewId="0">
      <selection activeCell="F3" sqref="F3"/>
    </sheetView>
  </sheetViews>
  <sheetFormatPr defaultRowHeight="14.4" x14ac:dyDescent="0.3"/>
  <cols>
    <col min="1" max="1" width="14.77734375" customWidth="1"/>
    <col min="2" max="2" width="16.33203125" customWidth="1"/>
    <col min="3" max="3" width="19.88671875" customWidth="1"/>
    <col min="4" max="4" width="16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">
      <c r="A2" s="2" t="s">
        <v>4</v>
      </c>
      <c r="B2" s="2" t="s">
        <v>5</v>
      </c>
      <c r="C2" s="2">
        <v>5000</v>
      </c>
      <c r="D2" s="2" t="s">
        <v>6</v>
      </c>
      <c r="G2" t="s">
        <v>50</v>
      </c>
    </row>
    <row r="3" spans="1:13" x14ac:dyDescent="0.3">
      <c r="A3" s="2" t="s">
        <v>7</v>
      </c>
      <c r="B3" s="2" t="s">
        <v>2</v>
      </c>
      <c r="C3" s="2">
        <v>7000</v>
      </c>
      <c r="D3" s="2" t="s">
        <v>8</v>
      </c>
    </row>
    <row r="4" spans="1:13" x14ac:dyDescent="0.3">
      <c r="A4" s="2" t="s">
        <v>9</v>
      </c>
      <c r="B4" s="2" t="s">
        <v>5</v>
      </c>
      <c r="C4" s="2">
        <v>3000</v>
      </c>
      <c r="D4" s="2" t="s">
        <v>10</v>
      </c>
      <c r="F4">
        <v>1</v>
      </c>
      <c r="G4" t="s">
        <v>42</v>
      </c>
    </row>
    <row r="5" spans="1:13" x14ac:dyDescent="0.3">
      <c r="A5" s="2" t="s">
        <v>11</v>
      </c>
      <c r="B5" s="2" t="s">
        <v>2</v>
      </c>
      <c r="C5" s="2">
        <v>4000</v>
      </c>
      <c r="D5" s="2" t="s">
        <v>12</v>
      </c>
      <c r="F5">
        <v>2</v>
      </c>
      <c r="G5" t="s">
        <v>43</v>
      </c>
    </row>
    <row r="6" spans="1:13" x14ac:dyDescent="0.3">
      <c r="A6" s="2" t="s">
        <v>13</v>
      </c>
      <c r="B6" s="2" t="s">
        <v>14</v>
      </c>
      <c r="C6" s="2">
        <v>2000</v>
      </c>
      <c r="D6" s="2" t="s">
        <v>6</v>
      </c>
      <c r="F6">
        <v>3</v>
      </c>
      <c r="G6" t="s">
        <v>44</v>
      </c>
    </row>
    <row r="7" spans="1:13" x14ac:dyDescent="0.3">
      <c r="A7" s="2" t="s">
        <v>15</v>
      </c>
      <c r="B7" s="2" t="s">
        <v>2</v>
      </c>
      <c r="C7" s="2">
        <v>6000</v>
      </c>
      <c r="D7" s="2" t="s">
        <v>10</v>
      </c>
      <c r="F7">
        <v>4</v>
      </c>
      <c r="G7" t="s">
        <v>45</v>
      </c>
    </row>
    <row r="8" spans="1:13" x14ac:dyDescent="0.3">
      <c r="A8" s="2" t="s">
        <v>16</v>
      </c>
      <c r="B8" s="2" t="s">
        <v>5</v>
      </c>
      <c r="C8" s="2">
        <v>4500</v>
      </c>
      <c r="D8" s="2" t="s">
        <v>12</v>
      </c>
    </row>
    <row r="9" spans="1:13" x14ac:dyDescent="0.3">
      <c r="A9" s="2" t="s">
        <v>17</v>
      </c>
      <c r="B9" s="2" t="s">
        <v>14</v>
      </c>
      <c r="C9" s="2">
        <v>3500</v>
      </c>
      <c r="D9" s="2" t="s">
        <v>8</v>
      </c>
      <c r="E9" s="16"/>
      <c r="F9" s="16" t="s">
        <v>46</v>
      </c>
      <c r="I9" s="16" t="s">
        <v>49</v>
      </c>
      <c r="L9" s="16" t="s">
        <v>52</v>
      </c>
    </row>
    <row r="10" spans="1:13" x14ac:dyDescent="0.3">
      <c r="F10" t="s">
        <v>47</v>
      </c>
      <c r="G10">
        <f>SUMIF(Table1[[#All],[Department]],B4,Table1[[#All],[Sales]])</f>
        <v>12500</v>
      </c>
      <c r="I10" t="s">
        <v>48</v>
      </c>
      <c r="J10">
        <f>SUMIFS(Table1[[#All],[Sales]],Table1[[#All],[Department]],B3,Table1[[#All],[Region]],D4)</f>
        <v>6000</v>
      </c>
      <c r="L10" t="s">
        <v>51</v>
      </c>
      <c r="M10">
        <f>COUNTIF(Table1[[#All],[Department]],B4)</f>
        <v>3</v>
      </c>
    </row>
    <row r="11" spans="1:13" x14ac:dyDescent="0.3">
      <c r="G11">
        <f>SUMIF(Table1[[#All],[Department]],B2,Table1[[#All],[Sales]])</f>
        <v>12500</v>
      </c>
      <c r="J11">
        <f>SUMIFS(Table1[[#All],[Sales]],Table1[[#All],[Department]],B3,Table1[[#All],[Region]],D4)</f>
        <v>6000</v>
      </c>
    </row>
    <row r="13" spans="1:13" x14ac:dyDescent="0.3">
      <c r="L13" t="s">
        <v>53</v>
      </c>
      <c r="M13" t="s">
        <v>54</v>
      </c>
    </row>
    <row r="14" spans="1:13" x14ac:dyDescent="0.3">
      <c r="G14">
        <f>SUMIF(Table1[[#All],[Department]],B5,Table1[[#All],[Sales]])</f>
        <v>17000</v>
      </c>
      <c r="J14">
        <f>SUMIFS(Table1[[#All],[Sales]],Table1[[#All],[Department]],B6,Table1[[#All],[Region]],D2)</f>
        <v>2000</v>
      </c>
      <c r="M14">
        <f>COUNTIFS(Table1[[#All],[Department]],B6,Table1[[#All],[Region]],D3)</f>
        <v>1</v>
      </c>
    </row>
    <row r="15" spans="1:13" x14ac:dyDescent="0.3">
      <c r="G15">
        <f>SUMIF(Table1[[#All],[Department]],B7,Table1[[#All],[Sales]])</f>
        <v>17000</v>
      </c>
    </row>
    <row r="16" spans="1:13" x14ac:dyDescent="0.3">
      <c r="C16">
        <f>SUMIFS(Table1[[#All],[Sales]],Table1[[#All],[Department]],B5,Table1[[#All],[Region]],D4)</f>
        <v>6000</v>
      </c>
    </row>
    <row r="19" spans="4:4" x14ac:dyDescent="0.3">
      <c r="D19">
        <f>COUNTIF(Table1[[#All],[Department]],B4)</f>
        <v>3</v>
      </c>
    </row>
    <row r="20" spans="4:4" x14ac:dyDescent="0.3">
      <c r="D20">
        <f>COUNTIFS(Table1[[#All],[Department]],B9,Table1[[#All],[Region]],D9)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6E3D-95A0-4895-9230-2C2189D983E2}">
  <dimension ref="A1:I20"/>
  <sheetViews>
    <sheetView workbookViewId="0">
      <selection activeCell="H19" sqref="H19"/>
    </sheetView>
  </sheetViews>
  <sheetFormatPr defaultRowHeight="14.4" x14ac:dyDescent="0.3"/>
  <cols>
    <col min="1" max="1" width="16" bestFit="1" customWidth="1"/>
    <col min="2" max="2" width="19.33203125" bestFit="1" customWidth="1"/>
    <col min="3" max="3" width="15.5546875" bestFit="1" customWidth="1"/>
    <col min="4" max="4" width="9.6640625" customWidth="1"/>
    <col min="5" max="5" width="15.109375" customWidth="1"/>
    <col min="6" max="6" width="10.33203125" bestFit="1" customWidth="1"/>
    <col min="8" max="8" width="46.5546875" bestFit="1" customWidth="1"/>
    <col min="9" max="9" width="10.33203125" bestFit="1" customWidth="1"/>
  </cols>
  <sheetData>
    <row r="1" spans="1:9" x14ac:dyDescent="0.3">
      <c r="A1" s="3" t="s">
        <v>18</v>
      </c>
      <c r="B1" s="3" t="s">
        <v>19</v>
      </c>
      <c r="C1" s="3" t="s">
        <v>1</v>
      </c>
      <c r="D1" s="3"/>
      <c r="E1" t="s">
        <v>56</v>
      </c>
      <c r="F1" t="s">
        <v>57</v>
      </c>
    </row>
    <row r="2" spans="1:9" x14ac:dyDescent="0.3">
      <c r="A2" s="4" t="s">
        <v>20</v>
      </c>
      <c r="B2" s="4" t="s">
        <v>21</v>
      </c>
      <c r="C2" s="4" t="s">
        <v>14</v>
      </c>
      <c r="D2" s="2"/>
      <c r="E2">
        <f>VLOOKUP(Table7[[#This Row],[Employee ID]],Table7[#All],2,0)</f>
        <v>60000</v>
      </c>
      <c r="F2" s="15">
        <f>VLOOKUP(Table7[[#This Row],[Employee ID]],Table7[#All],3,0)</f>
        <v>43174</v>
      </c>
    </row>
    <row r="3" spans="1:9" x14ac:dyDescent="0.3">
      <c r="A3" s="4" t="s">
        <v>22</v>
      </c>
      <c r="B3" s="4" t="s">
        <v>23</v>
      </c>
      <c r="C3" s="4" t="s">
        <v>24</v>
      </c>
      <c r="D3" s="2"/>
      <c r="E3">
        <f>VLOOKUP(Table7[[#This Row],[Employee ID]],Table7[#All],2,0)</f>
        <v>80000</v>
      </c>
      <c r="F3" s="15">
        <f>VLOOKUP(Table7[[#This Row],[Employee ID]],Table7[#All],3,0)</f>
        <v>43668</v>
      </c>
    </row>
    <row r="4" spans="1:9" x14ac:dyDescent="0.3">
      <c r="A4" s="4" t="s">
        <v>25</v>
      </c>
      <c r="B4" s="4" t="s">
        <v>26</v>
      </c>
      <c r="C4" s="4" t="s">
        <v>27</v>
      </c>
      <c r="D4" s="2"/>
      <c r="E4">
        <f>VLOOKUP(Table7[[#This Row],[Employee ID]],Table7[#All],2,0)</f>
        <v>75000</v>
      </c>
      <c r="F4" s="15">
        <f>VLOOKUP(Table7[[#This Row],[Employee ID]],Table7[#All],3,0)</f>
        <v>43044</v>
      </c>
    </row>
    <row r="5" spans="1:9" x14ac:dyDescent="0.3">
      <c r="A5" s="4" t="s">
        <v>28</v>
      </c>
      <c r="B5" s="4" t="s">
        <v>29</v>
      </c>
      <c r="C5" s="4" t="s">
        <v>5</v>
      </c>
      <c r="D5" s="2"/>
      <c r="E5">
        <f>VLOOKUP(Table7[[#This Row],[Employee ID]],Table7[#All],2,0)</f>
        <v>70000</v>
      </c>
      <c r="F5" s="15">
        <f>VLOOKUP(Table7[[#This Row],[Employee ID]],Table7[#All],3,0)</f>
        <v>43840</v>
      </c>
    </row>
    <row r="6" spans="1:9" x14ac:dyDescent="0.3">
      <c r="A6" s="4" t="s">
        <v>30</v>
      </c>
      <c r="B6" s="4" t="s">
        <v>31</v>
      </c>
      <c r="C6" s="4" t="s">
        <v>24</v>
      </c>
      <c r="D6" s="2"/>
      <c r="E6">
        <f>VLOOKUP(Table7[[#This Row],[Employee ID]],Table7[#All],2,0)</f>
        <v>85000</v>
      </c>
      <c r="F6" s="15">
        <f>VLOOKUP(Table7[[#This Row],[Employee ID]],Table7[#All],3,0)</f>
        <v>44360</v>
      </c>
    </row>
    <row r="9" spans="1:9" x14ac:dyDescent="0.3">
      <c r="C9" t="s">
        <v>55</v>
      </c>
      <c r="E9" t="str">
        <f>VLOOKUP(B4,Table2[[#All],[Employee Name]:[Department]],2,0)</f>
        <v>Finance</v>
      </c>
    </row>
    <row r="10" spans="1:9" x14ac:dyDescent="0.3">
      <c r="E10" t="str">
        <f>VLOOKUP(A5,Table2[#All],2,0)</f>
        <v>Sarah Davis</v>
      </c>
    </row>
    <row r="11" spans="1:9" x14ac:dyDescent="0.3">
      <c r="C11" t="str">
        <f>VLOOKUP(B5,Table2[[#All],[Employee Name]:[Department]],2,0)</f>
        <v>Marketing</v>
      </c>
    </row>
    <row r="13" spans="1:9" x14ac:dyDescent="0.3">
      <c r="B13" t="s">
        <v>59</v>
      </c>
      <c r="C13" t="str" cm="1">
        <f t="array" ref="C13">_xlfn.XLOOKUP(B4,Table2[[#All],[Employee Name]],Table2[[#All],[Employee ID]])</f>
        <v>E103</v>
      </c>
    </row>
    <row r="14" spans="1:9" x14ac:dyDescent="0.3">
      <c r="C14" t="str" cm="1">
        <f t="array" ref="C14">_xlfn.XLOOKUP(C5,Table2[[#All],[Department]],Table2[[#All],[Employee Name]])</f>
        <v>Sarah Davis</v>
      </c>
      <c r="I14" s="16" t="s">
        <v>67</v>
      </c>
    </row>
    <row r="15" spans="1:9" x14ac:dyDescent="0.3">
      <c r="G15" t="s">
        <v>63</v>
      </c>
      <c r="H15" t="s">
        <v>60</v>
      </c>
      <c r="I15" t="str">
        <f>VLOOKUP(B4,Table2[[#All],[Employee Name]:[Department]],2,0)</f>
        <v>Finance</v>
      </c>
    </row>
    <row r="16" spans="1:9" x14ac:dyDescent="0.3">
      <c r="H16" t="s">
        <v>61</v>
      </c>
      <c r="I16" t="str">
        <f>VLOOKUP(A5,Table2[#All],2,0)</f>
        <v>Sarah Davis</v>
      </c>
    </row>
    <row r="18" spans="7:9" x14ac:dyDescent="0.3">
      <c r="G18" t="s">
        <v>62</v>
      </c>
      <c r="H18" t="s">
        <v>64</v>
      </c>
    </row>
    <row r="20" spans="7:9" x14ac:dyDescent="0.3">
      <c r="G20" t="s">
        <v>65</v>
      </c>
      <c r="H20" t="s">
        <v>66</v>
      </c>
      <c r="I20" t="str" cm="1">
        <f t="array" ref="I20">_xlfn.XLOOKUP(B5,Table2[[#All],[Employee Name]],Table2[[#All],[Employee ID]],0,0)</f>
        <v>E104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18D2-8E1A-42CA-9AF1-9EAEBC44E49D}">
  <dimension ref="A1:C6"/>
  <sheetViews>
    <sheetView workbookViewId="0">
      <selection activeCell="D12" sqref="D12"/>
    </sheetView>
  </sheetViews>
  <sheetFormatPr defaultRowHeight="14.4" x14ac:dyDescent="0.3"/>
  <cols>
    <col min="1" max="1" width="16" bestFit="1" customWidth="1"/>
    <col min="2" max="2" width="18" customWidth="1"/>
    <col min="3" max="3" width="22.5546875" customWidth="1"/>
  </cols>
  <sheetData>
    <row r="1" spans="1:3" x14ac:dyDescent="0.3">
      <c r="A1" s="5" t="s">
        <v>18</v>
      </c>
      <c r="B1" s="5" t="s">
        <v>32</v>
      </c>
      <c r="C1" s="5" t="s">
        <v>33</v>
      </c>
    </row>
    <row r="2" spans="1:3" x14ac:dyDescent="0.3">
      <c r="A2" s="6" t="s">
        <v>20</v>
      </c>
      <c r="B2" s="7">
        <v>60000</v>
      </c>
      <c r="C2" s="8">
        <v>43174</v>
      </c>
    </row>
    <row r="3" spans="1:3" x14ac:dyDescent="0.3">
      <c r="A3" s="9" t="s">
        <v>22</v>
      </c>
      <c r="B3" s="10">
        <v>80000</v>
      </c>
      <c r="C3" s="11">
        <v>43668</v>
      </c>
    </row>
    <row r="4" spans="1:3" x14ac:dyDescent="0.3">
      <c r="A4" s="6" t="s">
        <v>25</v>
      </c>
      <c r="B4" s="7">
        <v>75000</v>
      </c>
      <c r="C4" s="8">
        <v>43044</v>
      </c>
    </row>
    <row r="5" spans="1:3" x14ac:dyDescent="0.3">
      <c r="A5" s="9" t="s">
        <v>28</v>
      </c>
      <c r="B5" s="10">
        <v>70000</v>
      </c>
      <c r="C5" s="11">
        <v>43840</v>
      </c>
    </row>
    <row r="6" spans="1:3" x14ac:dyDescent="0.3">
      <c r="A6" s="12" t="s">
        <v>30</v>
      </c>
      <c r="B6" s="13">
        <v>85000</v>
      </c>
      <c r="C6" s="14">
        <v>44360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DF33-F76F-4B59-A55B-A9DB55A737E5}">
  <dimension ref="A1:L16"/>
  <sheetViews>
    <sheetView workbookViewId="0">
      <selection activeCell="F1" sqref="F1:F1048576"/>
    </sheetView>
  </sheetViews>
  <sheetFormatPr defaultRowHeight="14.4" x14ac:dyDescent="0.3"/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E1" t="s">
        <v>39</v>
      </c>
    </row>
    <row r="2" spans="1:12" x14ac:dyDescent="0.3">
      <c r="A2" t="s">
        <v>38</v>
      </c>
      <c r="B2">
        <v>78</v>
      </c>
      <c r="C2">
        <v>65</v>
      </c>
      <c r="D2">
        <v>78</v>
      </c>
      <c r="E2">
        <v>87</v>
      </c>
    </row>
    <row r="3" spans="1:12" x14ac:dyDescent="0.3">
      <c r="A3" t="s">
        <v>40</v>
      </c>
      <c r="B3">
        <v>67</v>
      </c>
      <c r="C3">
        <v>76</v>
      </c>
      <c r="D3">
        <v>89</v>
      </c>
      <c r="E3">
        <v>89</v>
      </c>
    </row>
    <row r="4" spans="1:12" x14ac:dyDescent="0.3">
      <c r="A4" t="s">
        <v>41</v>
      </c>
      <c r="B4">
        <v>80</v>
      </c>
      <c r="C4">
        <v>90</v>
      </c>
      <c r="D4">
        <v>90</v>
      </c>
      <c r="E4">
        <v>78</v>
      </c>
    </row>
    <row r="8" spans="1:12" x14ac:dyDescent="0.3">
      <c r="E8" t="s">
        <v>58</v>
      </c>
      <c r="G8">
        <f>HLOOKUP(Table14[[#Headers],[stud3]],Table14[#All],3,0)</f>
        <v>89</v>
      </c>
    </row>
    <row r="10" spans="1:12" x14ac:dyDescent="0.3">
      <c r="G10">
        <f>HLOOKUP(Table14[[#Headers],[stud2]],Table14[#All],4,0)</f>
        <v>90</v>
      </c>
    </row>
    <row r="13" spans="1:12" x14ac:dyDescent="0.3">
      <c r="G13">
        <f>HLOOKUP(Table14[[#Headers],[stud2]],Table14[[#All],[Students]:[stud2]],3,0)</f>
        <v>76</v>
      </c>
    </row>
    <row r="14" spans="1:12" x14ac:dyDescent="0.3">
      <c r="I14">
        <f>HLOOKUP(Table14[[#Headers],[stud4]],Table14[#All],4,0)</f>
        <v>78</v>
      </c>
    </row>
    <row r="16" spans="1:12" x14ac:dyDescent="0.3">
      <c r="K16" t="s">
        <v>62</v>
      </c>
      <c r="L16">
        <f>HLOOKUP(Table14[[#Headers],[stud2]],Table14[#All],3,0)</f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 M</dc:creator>
  <cp:lastModifiedBy>Prathyush Pavithran</cp:lastModifiedBy>
  <dcterms:created xsi:type="dcterms:W3CDTF">2025-06-19T01:34:10Z</dcterms:created>
  <dcterms:modified xsi:type="dcterms:W3CDTF">2025-10-21T18:54:35Z</dcterms:modified>
</cp:coreProperties>
</file>